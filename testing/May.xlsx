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\Downloads\"/>
    </mc:Choice>
  </mc:AlternateContent>
  <xr:revisionPtr revIDLastSave="0" documentId="8_{A832CE06-717A-404E-9EA3-6340648CEEB3}" xr6:coauthVersionLast="47" xr6:coauthVersionMax="47" xr10:uidLastSave="{00000000-0000-0000-0000-000000000000}"/>
  <bookViews>
    <workbookView xWindow="-108" yWindow="-108" windowWidth="23256" windowHeight="12456" xr2:uid="{6A3650F3-B8A7-4073-82E9-F39B2B23A124}"/>
  </bookViews>
  <sheets>
    <sheet name="May-25 " sheetId="1" r:id="rId1"/>
  </sheets>
  <definedNames>
    <definedName name="_xlnm._FilterDatabase" localSheetId="0" hidden="1">'May-25 '!$A$1:$P$45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5" i="1" l="1"/>
  <c r="N45" i="1"/>
  <c r="P45" i="1" s="1"/>
  <c r="O44" i="1"/>
  <c r="N44" i="1"/>
  <c r="P44" i="1" s="1"/>
  <c r="O43" i="1"/>
  <c r="N43" i="1"/>
  <c r="P43" i="1" s="1"/>
  <c r="O42" i="1"/>
  <c r="N42" i="1"/>
  <c r="P42" i="1" s="1"/>
  <c r="O41" i="1"/>
  <c r="N41" i="1"/>
  <c r="P41" i="1" s="1"/>
  <c r="O40" i="1"/>
  <c r="N40" i="1"/>
  <c r="P40" i="1" s="1"/>
  <c r="O39" i="1"/>
  <c r="N39" i="1"/>
  <c r="P39" i="1" s="1"/>
  <c r="O38" i="1"/>
  <c r="N38" i="1"/>
  <c r="P38" i="1" s="1"/>
  <c r="O37" i="1"/>
  <c r="N37" i="1"/>
  <c r="P37" i="1" s="1"/>
  <c r="O36" i="1"/>
  <c r="N36" i="1"/>
  <c r="P36" i="1" s="1"/>
  <c r="O35" i="1"/>
  <c r="N35" i="1"/>
  <c r="P35" i="1" s="1"/>
  <c r="O34" i="1"/>
  <c r="N34" i="1"/>
  <c r="P34" i="1" s="1"/>
  <c r="O33" i="1"/>
  <c r="N33" i="1"/>
  <c r="P33" i="1" s="1"/>
  <c r="O32" i="1"/>
  <c r="N32" i="1"/>
  <c r="P32" i="1" s="1"/>
  <c r="O31" i="1"/>
  <c r="N31" i="1"/>
  <c r="P31" i="1" s="1"/>
  <c r="O30" i="1"/>
  <c r="N30" i="1"/>
  <c r="P30" i="1" s="1"/>
  <c r="O29" i="1"/>
  <c r="N29" i="1"/>
  <c r="P29" i="1" s="1"/>
  <c r="O28" i="1"/>
  <c r="N28" i="1"/>
  <c r="P28" i="1" s="1"/>
  <c r="O27" i="1"/>
  <c r="N27" i="1"/>
  <c r="P27" i="1" s="1"/>
  <c r="O26" i="1"/>
  <c r="N26" i="1"/>
  <c r="P26" i="1" s="1"/>
  <c r="O25" i="1"/>
  <c r="N25" i="1"/>
  <c r="P25" i="1" s="1"/>
  <c r="O24" i="1"/>
  <c r="N24" i="1"/>
  <c r="P24" i="1" s="1"/>
  <c r="O23" i="1"/>
  <c r="N23" i="1"/>
  <c r="P23" i="1" s="1"/>
  <c r="O22" i="1"/>
  <c r="N22" i="1"/>
  <c r="P22" i="1" s="1"/>
  <c r="O21" i="1"/>
  <c r="N21" i="1"/>
  <c r="P21" i="1" s="1"/>
  <c r="O20" i="1"/>
  <c r="N20" i="1"/>
  <c r="P20" i="1" s="1"/>
  <c r="O19" i="1"/>
  <c r="N19" i="1"/>
  <c r="P19" i="1" s="1"/>
  <c r="O18" i="1"/>
  <c r="N18" i="1"/>
  <c r="P18" i="1" s="1"/>
  <c r="O17" i="1"/>
  <c r="N17" i="1"/>
  <c r="P17" i="1" s="1"/>
  <c r="O16" i="1"/>
  <c r="N16" i="1"/>
  <c r="P16" i="1" s="1"/>
  <c r="O15" i="1"/>
  <c r="N15" i="1"/>
  <c r="P15" i="1" s="1"/>
  <c r="O14" i="1"/>
  <c r="N14" i="1"/>
  <c r="P14" i="1" s="1"/>
  <c r="O13" i="1"/>
  <c r="N13" i="1"/>
  <c r="P13" i="1" s="1"/>
  <c r="O12" i="1"/>
  <c r="N12" i="1"/>
  <c r="P12" i="1" s="1"/>
  <c r="O11" i="1"/>
  <c r="N11" i="1"/>
  <c r="P11" i="1" s="1"/>
  <c r="O10" i="1"/>
  <c r="N10" i="1"/>
  <c r="P10" i="1" s="1"/>
  <c r="O9" i="1"/>
  <c r="N9" i="1"/>
  <c r="P9" i="1" s="1"/>
  <c r="O8" i="1"/>
  <c r="N8" i="1"/>
  <c r="P8" i="1" s="1"/>
  <c r="O7" i="1"/>
  <c r="N7" i="1"/>
  <c r="P7" i="1" s="1"/>
  <c r="O6" i="1"/>
  <c r="N6" i="1"/>
  <c r="P6" i="1" s="1"/>
  <c r="O5" i="1"/>
  <c r="N5" i="1"/>
  <c r="P5" i="1" s="1"/>
  <c r="O4" i="1"/>
  <c r="N4" i="1"/>
  <c r="P4" i="1" s="1"/>
  <c r="O3" i="1"/>
  <c r="N3" i="1"/>
  <c r="P3" i="1" s="1"/>
  <c r="O2" i="1"/>
  <c r="N2" i="1"/>
  <c r="P2" i="1" s="1"/>
</calcChain>
</file>

<file path=xl/sharedStrings.xml><?xml version="1.0" encoding="utf-8"?>
<sst xmlns="http://schemas.openxmlformats.org/spreadsheetml/2006/main" count="148" uniqueCount="76">
  <si>
    <t>Dept</t>
  </si>
  <si>
    <t>Name</t>
  </si>
  <si>
    <t>Level</t>
  </si>
  <si>
    <t>SDI</t>
  </si>
  <si>
    <t>Vars/Vita.</t>
  </si>
  <si>
    <t>Nabis - Retainer</t>
  </si>
  <si>
    <t>Phoenix</t>
  </si>
  <si>
    <t>Kinergy</t>
  </si>
  <si>
    <t>STT - Daily Shuttle</t>
  </si>
  <si>
    <t>SE - Force Multiply</t>
  </si>
  <si>
    <t>SE - Venkat</t>
  </si>
  <si>
    <t>Super Eng.</t>
  </si>
  <si>
    <t>Digital Twin</t>
  </si>
  <si>
    <t>Project Alc.</t>
  </si>
  <si>
    <t>Internal Alc.</t>
  </si>
  <si>
    <t>Avail. Bandwidth</t>
  </si>
  <si>
    <t>AI</t>
  </si>
  <si>
    <t>Mohammed Muqtadar</t>
  </si>
  <si>
    <t>Junior</t>
  </si>
  <si>
    <t>Syed Mustafa</t>
  </si>
  <si>
    <t>Senior</t>
  </si>
  <si>
    <t>Shaik Naziya</t>
  </si>
  <si>
    <t>Om Jhitri</t>
  </si>
  <si>
    <t>Back Office</t>
  </si>
  <si>
    <t>Rehan Surya</t>
  </si>
  <si>
    <t>Intern</t>
  </si>
  <si>
    <t>Ganesh Bende</t>
  </si>
  <si>
    <t>Backend</t>
  </si>
  <si>
    <t>Artham Anudeep Reddy</t>
  </si>
  <si>
    <t>Atchukola Swetha</t>
  </si>
  <si>
    <t>Mohan Krishna</t>
  </si>
  <si>
    <t>Mid</t>
  </si>
  <si>
    <t>Ratnesh Pandey</t>
  </si>
  <si>
    <t>Enduvasi Srihari Dinesh</t>
  </si>
  <si>
    <t>Swapna Bakuna</t>
  </si>
  <si>
    <t>Gurram Meghashyam</t>
  </si>
  <si>
    <t>Mohamed Imran</t>
  </si>
  <si>
    <t>BD &amp; Strategy</t>
  </si>
  <si>
    <t>Mohammed Abdul Haleem</t>
  </si>
  <si>
    <t>Co Founder</t>
  </si>
  <si>
    <t>Anand Reddy KS</t>
  </si>
  <si>
    <t>Abdul Rahman Janoo</t>
  </si>
  <si>
    <t>Design</t>
  </si>
  <si>
    <t>Mohammed Abdul Jaleel</t>
  </si>
  <si>
    <t>Jashan Dhingra</t>
  </si>
  <si>
    <t>Khaja Raeesul Hasan</t>
  </si>
  <si>
    <t>DevOps</t>
  </si>
  <si>
    <t>Siva Prashanth</t>
  </si>
  <si>
    <t>Sai Krishna Prasad</t>
  </si>
  <si>
    <t>Hanumath Krishna Gorthi</t>
  </si>
  <si>
    <t>Damera Aditya</t>
  </si>
  <si>
    <t>Frontend</t>
  </si>
  <si>
    <t>Nipun Vemula</t>
  </si>
  <si>
    <t>Santhosh Banda</t>
  </si>
  <si>
    <t>Niket Nayan</t>
  </si>
  <si>
    <t>Faizan Khan</t>
  </si>
  <si>
    <t>Debabrata Datta</t>
  </si>
  <si>
    <t>Sai Charan Chinna</t>
  </si>
  <si>
    <t>Rukmini Damera</t>
  </si>
  <si>
    <t>Mobile</t>
  </si>
  <si>
    <t>Kadari Sai Kiran</t>
  </si>
  <si>
    <t>Mohammed Sulthan</t>
  </si>
  <si>
    <t>PM</t>
  </si>
  <si>
    <t>Ankit Vora</t>
  </si>
  <si>
    <t>Shubham Sharma</t>
  </si>
  <si>
    <t>Sahil</t>
  </si>
  <si>
    <t>Nidhi Singh</t>
  </si>
  <si>
    <t>PO</t>
  </si>
  <si>
    <t>Md Rian Ahmed</t>
  </si>
  <si>
    <t>Bandaru Ameesha</t>
  </si>
  <si>
    <t>QC</t>
  </si>
  <si>
    <t>Majid</t>
  </si>
  <si>
    <t>Harsha Pandavula</t>
  </si>
  <si>
    <t>K Yadagiri</t>
  </si>
  <si>
    <t>Akhila Nandikonda</t>
  </si>
  <si>
    <t xml:space="preserve">Shaikh Waseem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</si>
</sst>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rgb="FF4D93D9"/>
      <name val="Arial"/>
      <family val="2"/>
    </font>
    <font>
      <b/>
      <sz val="11"/>
      <color rgb="FF4EA7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C6AB"/>
        <bgColor rgb="FF000000"/>
      </patternFill>
    </fill>
    <fill>
      <patternFill patternType="solid">
        <fgColor rgb="FF82CAEC"/>
        <bgColor rgb="FF000000"/>
      </patternFill>
    </fill>
    <fill>
      <patternFill patternType="solid">
        <fgColor rgb="FFFEF2CD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3" xfId="0" applyFont="1" applyFill="1" applyBorder="1"/>
    <xf numFmtId="0" fontId="2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/>
    <xf numFmtId="0" fontId="2" fillId="4" borderId="5" xfId="0" applyFont="1" applyFill="1" applyBorder="1"/>
    <xf numFmtId="0" fontId="2" fillId="4" borderId="6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5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9" xfId="0" applyFont="1" applyFill="1" applyBorder="1"/>
    <xf numFmtId="0" fontId="3" fillId="0" borderId="2" xfId="0" applyFont="1" applyBorder="1" applyAlignment="1">
      <alignment horizontal="center" vertical="center"/>
    </xf>
    <xf numFmtId="0" fontId="2" fillId="4" borderId="2" xfId="0" applyFont="1" applyFill="1" applyBorder="1"/>
    <xf numFmtId="0" fontId="2" fillId="4" borderId="5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6" xfId="0" applyFont="1" applyFill="1" applyBorder="1"/>
    <xf numFmtId="0" fontId="4" fillId="4" borderId="6" xfId="0" applyFont="1" applyFill="1" applyBorder="1" applyAlignment="1">
      <alignment wrapText="1"/>
    </xf>
    <xf numFmtId="0" fontId="4" fillId="0" borderId="6" xfId="0" applyFont="1" applyBorder="1" applyAlignment="1">
      <alignment horizontal="center" vertical="center"/>
    </xf>
    <xf numFmtId="0" fontId="4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4" borderId="6" xfId="0" applyFont="1" applyFill="1" applyBorder="1"/>
    <xf numFmtId="0" fontId="4" fillId="0" borderId="13" xfId="0" applyFont="1" applyBorder="1" applyAlignment="1">
      <alignment horizontal="center" vertical="center"/>
    </xf>
    <xf numFmtId="0" fontId="6" fillId="0" borderId="0" xfId="0" applyFont="1"/>
    <xf numFmtId="0" fontId="2" fillId="4" borderId="14" xfId="0" applyFont="1" applyFill="1" applyBorder="1"/>
    <xf numFmtId="0" fontId="7" fillId="0" borderId="0" xfId="0" applyFont="1"/>
    <xf numFmtId="0" fontId="2" fillId="4" borderId="7" xfId="0" applyFont="1" applyFill="1" applyBorder="1"/>
    <xf numFmtId="0" fontId="5" fillId="0" borderId="0" xfId="0" applyFont="1"/>
    <xf numFmtId="0" fontId="8" fillId="0" borderId="0" xfId="0" applyFont="1"/>
    <xf numFmtId="0" fontId="4" fillId="4" borderId="2" xfId="0" applyFont="1" applyFill="1" applyBorder="1"/>
    <xf numFmtId="0" fontId="5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2" xfId="0" applyBorder="1"/>
    <xf numFmtId="0" fontId="2" fillId="4" borderId="1" xfId="0" applyFont="1" applyFill="1" applyBorder="1"/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4" borderId="5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12" xfId="0" applyFon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4" xfId="0" applyBorder="1"/>
    <xf numFmtId="0" fontId="0" fillId="0" borderId="2" xfId="0" applyBorder="1"/>
    <xf numFmtId="0" fontId="0" fillId="0" borderId="10" xfId="0" applyBorder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8CA3-16C8-4F3E-AF12-492AF6B9B4E5}">
  <sheetPr filterMode="1"/>
  <dimension ref="A1:AA45"/>
  <sheetViews>
    <sheetView tabSelected="1" workbookViewId="0">
      <pane xSplit="3" ySplit="1" topLeftCell="D10" activePane="bottomRight" state="frozen"/>
      <selection pane="topRight"/>
      <selection pane="bottomLeft"/>
      <selection pane="bottomRight" activeCell="I48" sqref="I48"/>
    </sheetView>
  </sheetViews>
  <sheetFormatPr defaultColWidth="8.88671875" defaultRowHeight="14.4" x14ac:dyDescent="0.3"/>
  <cols>
    <col min="1" max="1" width="12.88671875" bestFit="1" customWidth="1"/>
    <col min="2" max="2" width="24.88671875" style="69" bestFit="1" customWidth="1"/>
    <col min="3" max="3" width="8.109375" bestFit="1" customWidth="1"/>
    <col min="4" max="4" width="6.44140625" style="70" bestFit="1" customWidth="1"/>
    <col min="5" max="5" width="11.88671875" style="71" bestFit="1" customWidth="1"/>
    <col min="6" max="6" width="17.6640625" bestFit="1" customWidth="1"/>
    <col min="7" max="7" width="10.6640625" style="69" bestFit="1" customWidth="1"/>
    <col min="8" max="8" width="10.33203125" bestFit="1" customWidth="1"/>
    <col min="9" max="9" width="20.109375" bestFit="1" customWidth="1"/>
    <col min="10" max="10" width="20.44140625" style="69" bestFit="1" customWidth="1"/>
    <col min="11" max="11" width="13.6640625" style="69" bestFit="1" customWidth="1"/>
    <col min="12" max="12" width="13.33203125" bestFit="1" customWidth="1"/>
    <col min="13" max="13" width="13.88671875" bestFit="1" customWidth="1"/>
    <col min="14" max="14" width="13.6640625" bestFit="1" customWidth="1"/>
    <col min="15" max="15" width="14" bestFit="1" customWidth="1"/>
    <col min="16" max="16" width="18.44140625" bestFit="1" customWidth="1"/>
    <col min="17" max="17" width="12.6640625" bestFit="1" customWidth="1"/>
    <col min="18" max="18" width="14.44140625" customWidth="1"/>
    <col min="19" max="19" width="18.109375" customWidth="1"/>
    <col min="20" max="20" width="18.6640625" customWidth="1"/>
    <col min="21" max="21" width="11.109375" customWidth="1"/>
    <col min="22" max="22" width="20.44140625" bestFit="1" customWidth="1"/>
  </cols>
  <sheetData>
    <row r="1" spans="1:27" s="7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4" t="s">
        <v>15</v>
      </c>
      <c r="Q1" s="5"/>
      <c r="R1" s="5"/>
      <c r="S1" s="5"/>
      <c r="T1" s="6"/>
      <c r="U1" s="6"/>
      <c r="V1" s="5"/>
      <c r="W1" s="5"/>
      <c r="X1" s="5"/>
      <c r="Y1" s="5"/>
      <c r="Z1" s="5"/>
      <c r="AA1" s="5"/>
    </row>
    <row r="2" spans="1:27" hidden="1" x14ac:dyDescent="0.3">
      <c r="A2" s="8" t="s">
        <v>16</v>
      </c>
      <c r="B2" s="9" t="s">
        <v>17</v>
      </c>
      <c r="C2" s="10" t="s">
        <v>18</v>
      </c>
      <c r="D2" s="11"/>
      <c r="E2" s="12"/>
      <c r="F2" s="12"/>
      <c r="G2" s="13"/>
      <c r="H2" s="12"/>
      <c r="I2" s="12"/>
      <c r="J2" s="13">
        <v>50</v>
      </c>
      <c r="K2" s="13">
        <v>40</v>
      </c>
      <c r="L2" s="13"/>
      <c r="M2" s="13"/>
      <c r="N2" s="12">
        <f t="shared" ref="N2:N45" si="0">SUM(D2:K2)</f>
        <v>90</v>
      </c>
      <c r="O2" s="12">
        <f t="shared" ref="O2:O45" si="1">SUM(L2:M2)</f>
        <v>0</v>
      </c>
      <c r="P2" s="14">
        <f t="shared" ref="P2:P45" si="2">160-N2-O2</f>
        <v>70</v>
      </c>
      <c r="Q2" s="15"/>
      <c r="R2" s="15"/>
      <c r="S2" s="15"/>
      <c r="T2" s="15"/>
    </row>
    <row r="3" spans="1:27" hidden="1" x14ac:dyDescent="0.3">
      <c r="A3" s="16" t="s">
        <v>16</v>
      </c>
      <c r="B3" s="17" t="s">
        <v>19</v>
      </c>
      <c r="C3" s="18" t="s">
        <v>20</v>
      </c>
      <c r="D3" s="19"/>
      <c r="E3" s="20"/>
      <c r="F3" s="21"/>
      <c r="G3" s="22"/>
      <c r="H3" s="21"/>
      <c r="I3" s="21"/>
      <c r="J3" s="22"/>
      <c r="K3" s="22"/>
      <c r="L3" s="13">
        <v>140</v>
      </c>
      <c r="M3" s="13"/>
      <c r="N3" s="12">
        <f t="shared" si="0"/>
        <v>0</v>
      </c>
      <c r="O3" s="12">
        <f t="shared" si="1"/>
        <v>140</v>
      </c>
      <c r="P3" s="14">
        <f t="shared" si="2"/>
        <v>20</v>
      </c>
      <c r="Q3" s="15"/>
      <c r="R3" s="15"/>
      <c r="S3" s="15"/>
      <c r="T3" s="15"/>
    </row>
    <row r="4" spans="1:27" hidden="1" x14ac:dyDescent="0.3">
      <c r="A4" s="23" t="s">
        <v>16</v>
      </c>
      <c r="B4" s="9" t="s">
        <v>21</v>
      </c>
      <c r="C4" s="10" t="s">
        <v>18</v>
      </c>
      <c r="D4" s="11"/>
      <c r="E4" s="24"/>
      <c r="F4" s="12"/>
      <c r="G4" s="22"/>
      <c r="H4" s="12"/>
      <c r="I4" s="12"/>
      <c r="J4" s="22"/>
      <c r="K4" s="22"/>
      <c r="L4" s="13">
        <v>40</v>
      </c>
      <c r="M4" s="13">
        <v>80</v>
      </c>
      <c r="N4" s="12">
        <f t="shared" si="0"/>
        <v>0</v>
      </c>
      <c r="O4" s="12">
        <f t="shared" si="1"/>
        <v>120</v>
      </c>
      <c r="P4" s="14">
        <f t="shared" si="2"/>
        <v>40</v>
      </c>
      <c r="Q4" s="15"/>
      <c r="R4" s="15"/>
      <c r="S4" s="15"/>
      <c r="T4" s="15"/>
    </row>
    <row r="5" spans="1:27" hidden="1" x14ac:dyDescent="0.3">
      <c r="A5" s="25" t="s">
        <v>16</v>
      </c>
      <c r="B5" s="26" t="s">
        <v>22</v>
      </c>
      <c r="C5" s="27" t="s">
        <v>18</v>
      </c>
      <c r="D5" s="28"/>
      <c r="E5" s="29"/>
      <c r="F5" s="30"/>
      <c r="G5" s="29"/>
      <c r="H5" s="30"/>
      <c r="I5" s="31"/>
      <c r="J5" s="29"/>
      <c r="K5" s="29"/>
      <c r="L5" s="30">
        <v>120</v>
      </c>
      <c r="M5" s="30"/>
      <c r="N5" s="12">
        <f t="shared" si="0"/>
        <v>0</v>
      </c>
      <c r="O5" s="12">
        <f t="shared" si="1"/>
        <v>120</v>
      </c>
      <c r="P5" s="14">
        <f t="shared" si="2"/>
        <v>40</v>
      </c>
      <c r="Q5" s="15"/>
      <c r="R5" s="15"/>
      <c r="S5" s="15"/>
      <c r="T5" s="15"/>
    </row>
    <row r="6" spans="1:27" hidden="1" x14ac:dyDescent="0.3">
      <c r="A6" s="32" t="s">
        <v>23</v>
      </c>
      <c r="B6" s="17" t="s">
        <v>24</v>
      </c>
      <c r="C6" s="33" t="s">
        <v>25</v>
      </c>
      <c r="D6" s="34"/>
      <c r="E6" s="34"/>
      <c r="F6" s="34"/>
      <c r="G6" s="12"/>
      <c r="H6" s="34"/>
      <c r="I6" s="12"/>
      <c r="J6" s="12"/>
      <c r="K6" s="12"/>
      <c r="L6" s="12"/>
      <c r="M6" s="12"/>
      <c r="N6" s="12">
        <f t="shared" si="0"/>
        <v>0</v>
      </c>
      <c r="O6" s="12">
        <f t="shared" si="1"/>
        <v>0</v>
      </c>
      <c r="P6" s="14">
        <f t="shared" si="2"/>
        <v>160</v>
      </c>
      <c r="Q6" s="15"/>
      <c r="R6" s="15"/>
      <c r="S6" s="15"/>
      <c r="T6" s="15"/>
    </row>
    <row r="7" spans="1:27" hidden="1" x14ac:dyDescent="0.3">
      <c r="A7" s="35" t="s">
        <v>23</v>
      </c>
      <c r="B7" s="36" t="s">
        <v>26</v>
      </c>
      <c r="C7" s="37" t="s">
        <v>18</v>
      </c>
      <c r="D7" s="38"/>
      <c r="E7" s="38"/>
      <c r="F7" s="38"/>
      <c r="G7" s="38"/>
      <c r="H7" s="38"/>
      <c r="I7" s="39"/>
      <c r="J7" s="38"/>
      <c r="K7" s="38"/>
      <c r="L7" s="38"/>
      <c r="M7" s="38"/>
      <c r="N7" s="38">
        <f t="shared" si="0"/>
        <v>0</v>
      </c>
      <c r="O7" s="12">
        <f t="shared" si="1"/>
        <v>0</v>
      </c>
      <c r="P7" s="14">
        <f t="shared" si="2"/>
        <v>160</v>
      </c>
      <c r="Q7" s="15"/>
      <c r="R7" s="15"/>
      <c r="S7" s="15"/>
      <c r="T7" s="15"/>
    </row>
    <row r="8" spans="1:27" hidden="1" x14ac:dyDescent="0.3">
      <c r="A8" s="25" t="s">
        <v>27</v>
      </c>
      <c r="B8" s="9" t="s">
        <v>28</v>
      </c>
      <c r="C8" s="10" t="s">
        <v>20</v>
      </c>
      <c r="D8" s="12"/>
      <c r="E8" s="12"/>
      <c r="F8" s="12">
        <v>160</v>
      </c>
      <c r="G8" s="12"/>
      <c r="H8" s="12"/>
      <c r="I8" s="12"/>
      <c r="J8" s="12"/>
      <c r="K8" s="12"/>
      <c r="L8" s="12"/>
      <c r="M8" s="12"/>
      <c r="N8" s="12">
        <f t="shared" si="0"/>
        <v>160</v>
      </c>
      <c r="O8" s="40">
        <f t="shared" si="1"/>
        <v>0</v>
      </c>
      <c r="P8" s="14">
        <f t="shared" si="2"/>
        <v>0</v>
      </c>
      <c r="Q8" s="15"/>
      <c r="R8" s="15"/>
      <c r="S8" s="15"/>
      <c r="T8" s="15"/>
    </row>
    <row r="9" spans="1:27" hidden="1" x14ac:dyDescent="0.3">
      <c r="A9" s="41" t="s">
        <v>27</v>
      </c>
      <c r="B9" s="17" t="s">
        <v>29</v>
      </c>
      <c r="C9" s="33" t="s">
        <v>20</v>
      </c>
      <c r="D9" s="34"/>
      <c r="E9" s="34">
        <v>10</v>
      </c>
      <c r="F9" s="34"/>
      <c r="G9" s="34"/>
      <c r="H9" s="34"/>
      <c r="I9" s="34">
        <v>130</v>
      </c>
      <c r="J9" s="34"/>
      <c r="K9" s="34"/>
      <c r="L9" s="34"/>
      <c r="M9" s="42"/>
      <c r="N9" s="30">
        <f t="shared" si="0"/>
        <v>140</v>
      </c>
      <c r="O9" s="12">
        <f t="shared" si="1"/>
        <v>0</v>
      </c>
      <c r="P9" s="14">
        <f t="shared" si="2"/>
        <v>20</v>
      </c>
      <c r="Q9" s="15"/>
      <c r="R9" s="15"/>
      <c r="S9" s="15"/>
      <c r="T9" s="15"/>
    </row>
    <row r="10" spans="1:27" x14ac:dyDescent="0.3">
      <c r="A10" s="25" t="s">
        <v>27</v>
      </c>
      <c r="B10" s="9" t="s">
        <v>30</v>
      </c>
      <c r="C10" s="10" t="s">
        <v>31</v>
      </c>
      <c r="D10" s="12">
        <v>80</v>
      </c>
      <c r="E10" s="12"/>
      <c r="F10" s="12"/>
      <c r="G10" s="12">
        <v>80</v>
      </c>
      <c r="H10" s="12"/>
      <c r="I10" s="12"/>
      <c r="J10" s="12"/>
      <c r="K10" s="12"/>
      <c r="L10" s="12"/>
      <c r="M10" s="12"/>
      <c r="N10" s="40">
        <f t="shared" si="0"/>
        <v>160</v>
      </c>
      <c r="O10" s="12">
        <f t="shared" si="1"/>
        <v>0</v>
      </c>
      <c r="P10" s="14">
        <f t="shared" si="2"/>
        <v>0</v>
      </c>
      <c r="Q10" s="15"/>
      <c r="R10" s="15"/>
      <c r="S10" s="15"/>
      <c r="T10" s="15"/>
    </row>
    <row r="11" spans="1:27" hidden="1" x14ac:dyDescent="0.3">
      <c r="A11" s="16" t="s">
        <v>27</v>
      </c>
      <c r="B11" s="26" t="s">
        <v>32</v>
      </c>
      <c r="C11" s="27" t="s">
        <v>18</v>
      </c>
      <c r="D11" s="30"/>
      <c r="E11" s="30"/>
      <c r="F11" s="30"/>
      <c r="G11" s="30"/>
      <c r="H11" s="30">
        <v>160</v>
      </c>
      <c r="I11" s="30"/>
      <c r="J11" s="30"/>
      <c r="K11" s="30"/>
      <c r="L11" s="30"/>
      <c r="M11" s="31"/>
      <c r="N11" s="12">
        <f t="shared" si="0"/>
        <v>160</v>
      </c>
      <c r="O11" s="12">
        <f t="shared" si="1"/>
        <v>0</v>
      </c>
      <c r="P11" s="14">
        <f t="shared" si="2"/>
        <v>0</v>
      </c>
      <c r="Q11" s="15"/>
      <c r="R11" s="15"/>
      <c r="S11" s="15"/>
      <c r="T11" s="43"/>
    </row>
    <row r="12" spans="1:27" hidden="1" x14ac:dyDescent="0.3">
      <c r="A12" s="44" t="s">
        <v>27</v>
      </c>
      <c r="B12" s="26" t="s">
        <v>33</v>
      </c>
      <c r="C12" s="27" t="s">
        <v>25</v>
      </c>
      <c r="D12" s="30">
        <v>160</v>
      </c>
      <c r="E12" s="30"/>
      <c r="F12" s="30"/>
      <c r="G12" s="31"/>
      <c r="H12" s="30"/>
      <c r="I12" s="31"/>
      <c r="J12" s="31"/>
      <c r="K12" s="31"/>
      <c r="L12" s="31"/>
      <c r="M12" s="40"/>
      <c r="N12" s="12">
        <f t="shared" si="0"/>
        <v>160</v>
      </c>
      <c r="O12" s="12">
        <f t="shared" si="1"/>
        <v>0</v>
      </c>
      <c r="P12" s="14">
        <f t="shared" si="2"/>
        <v>0</v>
      </c>
      <c r="Q12" s="15"/>
      <c r="R12" s="15"/>
      <c r="S12" s="15"/>
      <c r="T12" s="45"/>
    </row>
    <row r="13" spans="1:27" hidden="1" x14ac:dyDescent="0.3">
      <c r="A13" s="46" t="s">
        <v>27</v>
      </c>
      <c r="B13" s="36" t="s">
        <v>34</v>
      </c>
      <c r="C13" s="37" t="s">
        <v>18</v>
      </c>
      <c r="D13" s="38"/>
      <c r="E13" s="38">
        <v>160</v>
      </c>
      <c r="F13" s="38"/>
      <c r="G13" s="39"/>
      <c r="H13" s="38"/>
      <c r="I13" s="39"/>
      <c r="J13" s="39"/>
      <c r="K13" s="39"/>
      <c r="L13" s="39"/>
      <c r="M13" s="40"/>
      <c r="N13" s="12">
        <f t="shared" si="0"/>
        <v>160</v>
      </c>
      <c r="O13" s="12">
        <f t="shared" si="1"/>
        <v>0</v>
      </c>
      <c r="P13" s="14">
        <f t="shared" si="2"/>
        <v>0</v>
      </c>
      <c r="Q13" s="15"/>
      <c r="R13" s="15"/>
      <c r="S13" s="15"/>
      <c r="T13" s="47"/>
      <c r="U13" s="47"/>
      <c r="V13" s="15"/>
      <c r="W13" s="15"/>
      <c r="X13" s="15"/>
      <c r="Y13" s="15"/>
      <c r="Z13" s="15"/>
      <c r="AA13" s="48"/>
    </row>
    <row r="14" spans="1:27" hidden="1" x14ac:dyDescent="0.3">
      <c r="A14" s="25" t="s">
        <v>27</v>
      </c>
      <c r="B14" s="9" t="s">
        <v>35</v>
      </c>
      <c r="C14" s="10" t="s">
        <v>18</v>
      </c>
      <c r="D14" s="12"/>
      <c r="E14" s="12">
        <v>160</v>
      </c>
      <c r="F14" s="12"/>
      <c r="G14" s="12"/>
      <c r="H14" s="12"/>
      <c r="I14" s="12"/>
      <c r="J14" s="12"/>
      <c r="K14" s="12"/>
      <c r="L14" s="12"/>
      <c r="M14" s="40"/>
      <c r="N14" s="12">
        <f t="shared" si="0"/>
        <v>160</v>
      </c>
      <c r="O14" s="12">
        <f t="shared" si="1"/>
        <v>0</v>
      </c>
      <c r="P14" s="14">
        <f t="shared" si="2"/>
        <v>0</v>
      </c>
      <c r="Q14" s="15"/>
      <c r="R14" s="15"/>
      <c r="S14" s="15"/>
      <c r="T14" s="47"/>
      <c r="U14" s="47"/>
      <c r="V14" s="15"/>
      <c r="W14" s="15"/>
      <c r="X14" s="15"/>
      <c r="Y14" s="15"/>
      <c r="Z14" s="15"/>
      <c r="AA14" s="15"/>
    </row>
    <row r="15" spans="1:27" hidden="1" x14ac:dyDescent="0.3">
      <c r="A15" s="25" t="s">
        <v>27</v>
      </c>
      <c r="B15" s="9" t="s">
        <v>36</v>
      </c>
      <c r="C15" s="10" t="s">
        <v>18</v>
      </c>
      <c r="D15" s="12">
        <v>80</v>
      </c>
      <c r="E15" s="12"/>
      <c r="F15" s="12"/>
      <c r="G15" s="12"/>
      <c r="H15" s="12"/>
      <c r="I15" s="12"/>
      <c r="J15" s="12"/>
      <c r="K15" s="12"/>
      <c r="L15" s="12"/>
      <c r="M15" s="40"/>
      <c r="N15" s="12">
        <f t="shared" si="0"/>
        <v>80</v>
      </c>
      <c r="O15" s="12">
        <f t="shared" si="1"/>
        <v>0</v>
      </c>
      <c r="P15" s="14">
        <f t="shared" si="2"/>
        <v>80</v>
      </c>
      <c r="Q15" s="15"/>
      <c r="R15" s="15"/>
      <c r="S15" s="15"/>
      <c r="T15" s="47"/>
      <c r="U15" s="47"/>
      <c r="V15" s="15"/>
      <c r="W15" s="15"/>
      <c r="X15" s="15"/>
      <c r="Y15" s="15"/>
      <c r="Z15" s="15"/>
      <c r="AA15" s="15"/>
    </row>
    <row r="16" spans="1:27" hidden="1" x14ac:dyDescent="0.3">
      <c r="A16" s="32" t="s">
        <v>37</v>
      </c>
      <c r="B16" s="17" t="s">
        <v>38</v>
      </c>
      <c r="C16" s="18" t="s">
        <v>20</v>
      </c>
      <c r="D16" s="21"/>
      <c r="E16" s="42"/>
      <c r="F16" s="34"/>
      <c r="G16" s="34"/>
      <c r="H16" s="34"/>
      <c r="I16" s="34"/>
      <c r="J16" s="34"/>
      <c r="K16" s="34"/>
      <c r="L16" s="34"/>
      <c r="M16" s="38"/>
      <c r="N16" s="12">
        <f t="shared" si="0"/>
        <v>0</v>
      </c>
      <c r="O16" s="12">
        <f t="shared" si="1"/>
        <v>0</v>
      </c>
      <c r="P16" s="14">
        <f t="shared" si="2"/>
        <v>160</v>
      </c>
      <c r="Q16" s="15"/>
      <c r="R16" s="15"/>
      <c r="S16" s="15"/>
      <c r="T16" s="47"/>
      <c r="U16" s="47"/>
      <c r="V16" s="15"/>
      <c r="W16" s="15"/>
      <c r="X16" s="15"/>
      <c r="Y16" s="15"/>
      <c r="Z16" s="15"/>
      <c r="AA16" s="15"/>
    </row>
    <row r="17" spans="1:27" hidden="1" x14ac:dyDescent="0.3">
      <c r="A17" s="49" t="s">
        <v>39</v>
      </c>
      <c r="B17" s="9" t="s">
        <v>40</v>
      </c>
      <c r="C17" s="10" t="s">
        <v>20</v>
      </c>
      <c r="D17" s="11"/>
      <c r="E17" s="12"/>
      <c r="F17" s="12">
        <v>20</v>
      </c>
      <c r="G17" s="12"/>
      <c r="H17" s="12"/>
      <c r="I17" s="12"/>
      <c r="J17" s="12"/>
      <c r="K17" s="12"/>
      <c r="L17" s="12"/>
      <c r="M17" s="12"/>
      <c r="N17" s="40">
        <f t="shared" si="0"/>
        <v>20</v>
      </c>
      <c r="O17" s="12">
        <f t="shared" si="1"/>
        <v>0</v>
      </c>
      <c r="P17" s="14">
        <f t="shared" si="2"/>
        <v>140</v>
      </c>
      <c r="Q17" s="15"/>
      <c r="R17" s="15"/>
      <c r="S17" s="15"/>
      <c r="T17" s="47"/>
      <c r="U17" s="47"/>
      <c r="V17" s="15"/>
      <c r="W17" s="15"/>
      <c r="X17" s="15"/>
      <c r="Y17" s="15"/>
      <c r="Z17" s="15"/>
      <c r="AA17" s="15"/>
    </row>
    <row r="18" spans="1:27" hidden="1" x14ac:dyDescent="0.3">
      <c r="A18" s="32" t="s">
        <v>39</v>
      </c>
      <c r="B18" s="17" t="s">
        <v>41</v>
      </c>
      <c r="C18" s="33" t="s">
        <v>20</v>
      </c>
      <c r="D18" s="50"/>
      <c r="E18" s="34"/>
      <c r="F18" s="34"/>
      <c r="G18" s="34"/>
      <c r="H18" s="34"/>
      <c r="I18" s="34"/>
      <c r="J18" s="34"/>
      <c r="K18" s="34"/>
      <c r="L18" s="34"/>
      <c r="M18" s="34"/>
      <c r="N18" s="38">
        <f t="shared" si="0"/>
        <v>0</v>
      </c>
      <c r="O18" s="38">
        <f t="shared" si="1"/>
        <v>0</v>
      </c>
      <c r="P18" s="51">
        <f t="shared" si="2"/>
        <v>160</v>
      </c>
      <c r="Q18" s="15"/>
      <c r="R18" s="15"/>
      <c r="S18" s="15"/>
      <c r="T18" s="47"/>
      <c r="U18" s="47"/>
      <c r="V18" s="15"/>
      <c r="W18" s="15"/>
      <c r="X18" s="15"/>
      <c r="Y18" s="15"/>
      <c r="Z18" s="15"/>
      <c r="AA18" s="15"/>
    </row>
    <row r="19" spans="1:27" hidden="1" x14ac:dyDescent="0.3">
      <c r="A19" s="25" t="s">
        <v>42</v>
      </c>
      <c r="B19" s="9" t="s">
        <v>43</v>
      </c>
      <c r="C19" s="10" t="s">
        <v>18</v>
      </c>
      <c r="D19" s="52">
        <v>80</v>
      </c>
      <c r="E19" s="12"/>
      <c r="F19" s="12"/>
      <c r="G19" s="12"/>
      <c r="H19" s="39">
        <v>40</v>
      </c>
      <c r="I19" s="12">
        <v>20</v>
      </c>
      <c r="J19" s="12"/>
      <c r="K19" s="12"/>
      <c r="L19" s="12"/>
      <c r="M19" s="40"/>
      <c r="N19" s="12">
        <f t="shared" si="0"/>
        <v>140</v>
      </c>
      <c r="O19" s="12">
        <f t="shared" si="1"/>
        <v>0</v>
      </c>
      <c r="P19" s="14">
        <f t="shared" si="2"/>
        <v>20</v>
      </c>
      <c r="Q19" s="15"/>
      <c r="R19" s="15"/>
      <c r="S19" s="15"/>
      <c r="T19" s="47"/>
      <c r="U19" s="47"/>
      <c r="V19" s="15"/>
      <c r="W19" s="15"/>
      <c r="X19" s="15"/>
      <c r="Y19" s="15"/>
      <c r="Z19" s="15"/>
      <c r="AA19" s="15"/>
    </row>
    <row r="20" spans="1:27" hidden="1" x14ac:dyDescent="0.3">
      <c r="A20" s="16" t="s">
        <v>42</v>
      </c>
      <c r="B20" s="26" t="s">
        <v>44</v>
      </c>
      <c r="C20" s="27" t="s">
        <v>18</v>
      </c>
      <c r="D20" s="53"/>
      <c r="E20" s="12">
        <v>50</v>
      </c>
      <c r="F20" s="12"/>
      <c r="G20" s="30"/>
      <c r="H20" s="40"/>
      <c r="I20" s="30"/>
      <c r="J20" s="30"/>
      <c r="K20" s="30"/>
      <c r="L20" s="30"/>
      <c r="M20" s="40"/>
      <c r="N20" s="12">
        <f t="shared" si="0"/>
        <v>50</v>
      </c>
      <c r="O20" s="12">
        <f t="shared" si="1"/>
        <v>0</v>
      </c>
      <c r="P20" s="14">
        <f t="shared" si="2"/>
        <v>110</v>
      </c>
      <c r="Q20" s="15"/>
      <c r="R20" s="15"/>
      <c r="S20" s="15"/>
      <c r="T20" s="47"/>
      <c r="U20" s="47"/>
      <c r="V20" s="15"/>
      <c r="W20" s="15"/>
      <c r="X20" s="15"/>
      <c r="Y20" s="15"/>
      <c r="Z20" s="15"/>
      <c r="AA20" s="15"/>
    </row>
    <row r="21" spans="1:27" hidden="1" x14ac:dyDescent="0.3">
      <c r="A21" s="41" t="s">
        <v>42</v>
      </c>
      <c r="B21" s="17" t="s">
        <v>45</v>
      </c>
      <c r="C21" s="33" t="s">
        <v>20</v>
      </c>
      <c r="D21" s="54"/>
      <c r="E21" s="12"/>
      <c r="F21" s="12"/>
      <c r="G21" s="34"/>
      <c r="H21" s="40"/>
      <c r="I21" s="34"/>
      <c r="J21" s="42"/>
      <c r="K21" s="42"/>
      <c r="L21" s="34"/>
      <c r="M21" s="38"/>
      <c r="N21" s="12">
        <f t="shared" si="0"/>
        <v>0</v>
      </c>
      <c r="O21" s="12">
        <f t="shared" si="1"/>
        <v>0</v>
      </c>
      <c r="P21" s="14">
        <f t="shared" si="2"/>
        <v>160</v>
      </c>
      <c r="Q21" s="15"/>
      <c r="R21" s="15"/>
      <c r="S21" s="15"/>
      <c r="T21" s="47"/>
      <c r="U21" s="47"/>
      <c r="V21" s="15"/>
      <c r="W21" s="15"/>
      <c r="X21" s="15"/>
      <c r="Y21" s="15"/>
      <c r="Z21" s="15"/>
      <c r="AA21" s="15"/>
    </row>
    <row r="22" spans="1:27" hidden="1" x14ac:dyDescent="0.3">
      <c r="A22" s="25" t="s">
        <v>46</v>
      </c>
      <c r="B22" s="9" t="s">
        <v>47</v>
      </c>
      <c r="C22" s="10" t="s">
        <v>18</v>
      </c>
      <c r="D22" s="52">
        <v>30</v>
      </c>
      <c r="E22" s="12"/>
      <c r="F22" s="12"/>
      <c r="G22" s="12"/>
      <c r="H22" s="55"/>
      <c r="I22" s="12">
        <v>20</v>
      </c>
      <c r="J22" s="12"/>
      <c r="K22" s="12"/>
      <c r="L22" s="12"/>
      <c r="M22" s="12"/>
      <c r="N22" s="31">
        <f t="shared" si="0"/>
        <v>50</v>
      </c>
      <c r="O22" s="31">
        <f t="shared" si="1"/>
        <v>0</v>
      </c>
      <c r="P22" s="29">
        <f t="shared" si="2"/>
        <v>110</v>
      </c>
      <c r="Q22" s="15"/>
      <c r="R22" s="15"/>
      <c r="S22" s="15"/>
      <c r="T22" s="47"/>
      <c r="U22" s="47"/>
      <c r="V22" s="15"/>
      <c r="W22" s="15"/>
      <c r="X22" s="15"/>
      <c r="Y22" s="15"/>
      <c r="Z22" s="15"/>
      <c r="AA22" s="15"/>
    </row>
    <row r="23" spans="1:27" hidden="1" x14ac:dyDescent="0.3">
      <c r="A23" s="46" t="s">
        <v>46</v>
      </c>
      <c r="B23" s="17" t="s">
        <v>48</v>
      </c>
      <c r="C23" s="33" t="s">
        <v>25</v>
      </c>
      <c r="D23" s="54"/>
      <c r="E23" s="12">
        <v>30</v>
      </c>
      <c r="F23" s="12"/>
      <c r="G23" s="34"/>
      <c r="H23" s="40">
        <v>50</v>
      </c>
      <c r="I23" s="34"/>
      <c r="J23" s="34"/>
      <c r="K23" s="34"/>
      <c r="L23" s="34"/>
      <c r="M23" s="30"/>
      <c r="N23" s="30">
        <f t="shared" si="0"/>
        <v>80</v>
      </c>
      <c r="O23" s="12">
        <f t="shared" si="1"/>
        <v>0</v>
      </c>
      <c r="P23" s="14">
        <f t="shared" si="2"/>
        <v>80</v>
      </c>
      <c r="Q23" s="15"/>
      <c r="R23" s="15"/>
      <c r="S23" s="15"/>
      <c r="T23" s="47"/>
      <c r="U23" s="47"/>
      <c r="V23" s="15"/>
      <c r="W23" s="15"/>
      <c r="X23" s="15"/>
      <c r="Y23" s="15"/>
      <c r="Z23" s="15"/>
      <c r="AA23" s="15"/>
    </row>
    <row r="24" spans="1:27" x14ac:dyDescent="0.3">
      <c r="A24" s="56" t="s">
        <v>46</v>
      </c>
      <c r="B24" s="36" t="s">
        <v>49</v>
      </c>
      <c r="C24" s="37" t="s">
        <v>18</v>
      </c>
      <c r="D24" s="57"/>
      <c r="E24" s="58"/>
      <c r="F24" s="12"/>
      <c r="G24" s="38">
        <v>10</v>
      </c>
      <c r="H24" s="40"/>
      <c r="I24" s="38"/>
      <c r="J24" s="38"/>
      <c r="K24" s="38"/>
      <c r="L24" s="38"/>
      <c r="M24" s="39"/>
      <c r="N24" s="38">
        <f t="shared" si="0"/>
        <v>10</v>
      </c>
      <c r="O24" s="12">
        <f t="shared" si="1"/>
        <v>0</v>
      </c>
      <c r="P24" s="14">
        <f t="shared" si="2"/>
        <v>150</v>
      </c>
      <c r="Q24" s="15"/>
      <c r="R24" s="15"/>
      <c r="S24" s="15"/>
      <c r="T24" s="47"/>
      <c r="U24" s="47"/>
      <c r="V24" s="15"/>
      <c r="W24" s="15"/>
      <c r="X24" s="15"/>
      <c r="Y24" s="15"/>
      <c r="Z24" s="15"/>
      <c r="AA24" s="15"/>
    </row>
    <row r="25" spans="1:27" hidden="1" x14ac:dyDescent="0.3">
      <c r="A25" s="25" t="s">
        <v>46</v>
      </c>
      <c r="B25" s="9" t="s">
        <v>50</v>
      </c>
      <c r="C25" s="10" t="s">
        <v>20</v>
      </c>
      <c r="D25" s="52"/>
      <c r="E25" s="12"/>
      <c r="F25" s="12"/>
      <c r="G25" s="12"/>
      <c r="H25" s="40"/>
      <c r="I25" s="12"/>
      <c r="J25" s="12"/>
      <c r="K25" s="12"/>
      <c r="L25" s="12"/>
      <c r="M25" s="12"/>
      <c r="N25" s="12">
        <f t="shared" si="0"/>
        <v>0</v>
      </c>
      <c r="O25" s="40">
        <f t="shared" si="1"/>
        <v>0</v>
      </c>
      <c r="P25" s="14">
        <f t="shared" si="2"/>
        <v>160</v>
      </c>
      <c r="Q25" s="15"/>
      <c r="R25" s="15"/>
      <c r="S25" s="15"/>
      <c r="T25" s="47"/>
      <c r="U25" s="47"/>
      <c r="V25" s="15"/>
      <c r="W25" s="15"/>
      <c r="X25" s="15"/>
      <c r="Y25" s="15"/>
      <c r="Z25" s="15"/>
      <c r="AA25" s="15"/>
    </row>
    <row r="26" spans="1:27" x14ac:dyDescent="0.3">
      <c r="A26" s="41" t="s">
        <v>51</v>
      </c>
      <c r="B26" s="17" t="s">
        <v>52</v>
      </c>
      <c r="C26" s="33" t="s">
        <v>18</v>
      </c>
      <c r="D26" s="54"/>
      <c r="E26" s="12">
        <v>100</v>
      </c>
      <c r="F26" s="12"/>
      <c r="G26" s="34">
        <v>80</v>
      </c>
      <c r="H26" s="40"/>
      <c r="I26" s="34"/>
      <c r="J26" s="34"/>
      <c r="K26" s="34"/>
      <c r="L26" s="34"/>
      <c r="M26" s="34"/>
      <c r="N26" s="42">
        <f t="shared" si="0"/>
        <v>180</v>
      </c>
      <c r="O26" s="12">
        <f t="shared" si="1"/>
        <v>0</v>
      </c>
      <c r="P26" s="14">
        <f t="shared" si="2"/>
        <v>-20</v>
      </c>
      <c r="Q26" s="15"/>
      <c r="R26" s="15"/>
      <c r="S26" s="15"/>
      <c r="T26" s="47"/>
      <c r="U26" s="47"/>
      <c r="V26" s="15"/>
      <c r="W26" s="15"/>
      <c r="X26" s="15"/>
      <c r="Y26" s="15"/>
      <c r="Z26" s="15"/>
      <c r="AA26" s="15"/>
    </row>
    <row r="27" spans="1:27" hidden="1" x14ac:dyDescent="0.3">
      <c r="A27" s="25" t="s">
        <v>51</v>
      </c>
      <c r="B27" s="9" t="s">
        <v>53</v>
      </c>
      <c r="C27" s="10" t="s">
        <v>20</v>
      </c>
      <c r="D27" s="12"/>
      <c r="E27" s="30"/>
      <c r="F27" s="30">
        <v>160</v>
      </c>
      <c r="G27" s="12"/>
      <c r="H27" s="30"/>
      <c r="I27" s="12"/>
      <c r="J27" s="12"/>
      <c r="K27" s="12"/>
      <c r="L27" s="12"/>
      <c r="M27" s="12"/>
      <c r="N27" s="40">
        <f t="shared" si="0"/>
        <v>160</v>
      </c>
      <c r="O27" s="40">
        <f t="shared" si="1"/>
        <v>0</v>
      </c>
      <c r="P27" s="14">
        <f t="shared" si="2"/>
        <v>0</v>
      </c>
      <c r="Q27" s="15"/>
      <c r="R27" s="15"/>
      <c r="S27" s="15"/>
      <c r="T27" s="47"/>
      <c r="U27" s="47"/>
      <c r="V27" s="15"/>
      <c r="W27" s="15"/>
      <c r="X27" s="15"/>
      <c r="Y27" s="15"/>
      <c r="Z27" s="15"/>
      <c r="AA27" s="15"/>
    </row>
    <row r="28" spans="1:27" hidden="1" x14ac:dyDescent="0.3">
      <c r="A28" s="16" t="s">
        <v>51</v>
      </c>
      <c r="B28" s="26" t="s">
        <v>54</v>
      </c>
      <c r="C28" s="27" t="s">
        <v>18</v>
      </c>
      <c r="D28" s="30"/>
      <c r="E28" s="30"/>
      <c r="F28" s="30"/>
      <c r="G28" s="30"/>
      <c r="H28" s="30">
        <v>160</v>
      </c>
      <c r="I28" s="30"/>
      <c r="J28" s="30"/>
      <c r="K28" s="30"/>
      <c r="L28" s="30"/>
      <c r="M28" s="31"/>
      <c r="N28" s="30">
        <f t="shared" si="0"/>
        <v>160</v>
      </c>
      <c r="O28" s="12">
        <f t="shared" si="1"/>
        <v>0</v>
      </c>
      <c r="P28" s="14">
        <f t="shared" si="2"/>
        <v>0</v>
      </c>
      <c r="Q28" s="15"/>
      <c r="R28" s="15"/>
      <c r="S28" s="15"/>
      <c r="T28" s="47"/>
      <c r="U28" s="47"/>
      <c r="V28" s="15"/>
      <c r="W28" s="15"/>
      <c r="X28" s="15"/>
      <c r="Y28" s="15"/>
      <c r="Z28" s="15"/>
      <c r="AA28" s="15"/>
    </row>
    <row r="29" spans="1:27" hidden="1" x14ac:dyDescent="0.3">
      <c r="A29" s="25" t="s">
        <v>51</v>
      </c>
      <c r="B29" s="9" t="s">
        <v>55</v>
      </c>
      <c r="C29" s="10" t="s">
        <v>18</v>
      </c>
      <c r="D29" s="12"/>
      <c r="E29" s="12"/>
      <c r="F29" s="12"/>
      <c r="G29" s="12"/>
      <c r="H29" s="12">
        <v>160</v>
      </c>
      <c r="I29" s="12"/>
      <c r="J29" s="12"/>
      <c r="K29" s="12"/>
      <c r="L29" s="12"/>
      <c r="M29" s="40"/>
      <c r="N29" s="12">
        <f t="shared" si="0"/>
        <v>160</v>
      </c>
      <c r="O29" s="12">
        <f t="shared" si="1"/>
        <v>0</v>
      </c>
      <c r="P29" s="14">
        <f t="shared" si="2"/>
        <v>0</v>
      </c>
      <c r="Q29" s="15"/>
      <c r="R29" s="15"/>
      <c r="S29" s="15"/>
      <c r="T29" s="47"/>
      <c r="U29" s="47"/>
      <c r="V29" s="15"/>
      <c r="W29" s="15"/>
      <c r="X29" s="15"/>
      <c r="Y29" s="15"/>
      <c r="Z29" s="15"/>
      <c r="AA29" s="15"/>
    </row>
    <row r="30" spans="1:27" hidden="1" x14ac:dyDescent="0.3">
      <c r="A30" s="46" t="s">
        <v>51</v>
      </c>
      <c r="B30" s="17" t="s">
        <v>56</v>
      </c>
      <c r="C30" s="18" t="s">
        <v>18</v>
      </c>
      <c r="D30" s="34">
        <v>160</v>
      </c>
      <c r="E30" s="34"/>
      <c r="F30" s="34"/>
      <c r="G30" s="42"/>
      <c r="H30" s="34"/>
      <c r="I30" s="34"/>
      <c r="J30" s="42"/>
      <c r="K30" s="42"/>
      <c r="L30" s="34"/>
      <c r="M30" s="38"/>
      <c r="N30" s="38">
        <f t="shared" si="0"/>
        <v>160</v>
      </c>
      <c r="O30" s="12">
        <f t="shared" si="1"/>
        <v>0</v>
      </c>
      <c r="P30" s="14">
        <f t="shared" si="2"/>
        <v>0</v>
      </c>
      <c r="Q30" s="15"/>
      <c r="R30" s="15"/>
      <c r="S30" s="15"/>
      <c r="T30" s="47"/>
      <c r="U30" s="47"/>
      <c r="V30" s="15"/>
      <c r="W30" s="15"/>
      <c r="X30" s="15"/>
      <c r="Y30" s="15"/>
      <c r="Z30" s="15"/>
      <c r="AA30" s="15"/>
    </row>
    <row r="31" spans="1:27" hidden="1" x14ac:dyDescent="0.3">
      <c r="A31" s="25" t="s">
        <v>51</v>
      </c>
      <c r="B31" s="9" t="s">
        <v>57</v>
      </c>
      <c r="C31" s="10" t="s">
        <v>18</v>
      </c>
      <c r="D31" s="12">
        <v>80</v>
      </c>
      <c r="E31" s="12"/>
      <c r="F31" s="12"/>
      <c r="G31" s="12"/>
      <c r="H31" s="12"/>
      <c r="I31" s="12"/>
      <c r="J31" s="12"/>
      <c r="K31" s="12"/>
      <c r="L31" s="12">
        <v>80</v>
      </c>
      <c r="M31" s="12"/>
      <c r="N31" s="12">
        <f t="shared" si="0"/>
        <v>80</v>
      </c>
      <c r="O31" s="39">
        <f t="shared" si="1"/>
        <v>80</v>
      </c>
      <c r="P31" s="51">
        <f t="shared" si="2"/>
        <v>0</v>
      </c>
      <c r="Q31" s="15"/>
      <c r="R31" s="15"/>
      <c r="S31" s="15"/>
      <c r="T31" s="47"/>
      <c r="U31" s="47"/>
      <c r="V31" s="15"/>
      <c r="W31" s="15"/>
      <c r="X31" s="15"/>
      <c r="Y31" s="15"/>
      <c r="Z31" s="15"/>
      <c r="AA31" s="15"/>
    </row>
    <row r="32" spans="1:27" hidden="1" x14ac:dyDescent="0.3">
      <c r="A32" s="41" t="s">
        <v>51</v>
      </c>
      <c r="B32" s="17" t="s">
        <v>58</v>
      </c>
      <c r="C32" s="33" t="s">
        <v>18</v>
      </c>
      <c r="D32" s="34">
        <v>80</v>
      </c>
      <c r="E32" s="34"/>
      <c r="F32" s="34"/>
      <c r="G32" s="34"/>
      <c r="H32" s="34"/>
      <c r="I32" s="34">
        <v>60</v>
      </c>
      <c r="J32" s="42"/>
      <c r="K32" s="42"/>
      <c r="L32" s="34"/>
      <c r="M32" s="34"/>
      <c r="N32" s="30">
        <f t="shared" si="0"/>
        <v>140</v>
      </c>
      <c r="O32" s="12">
        <f t="shared" si="1"/>
        <v>0</v>
      </c>
      <c r="P32" s="14">
        <f t="shared" si="2"/>
        <v>20</v>
      </c>
      <c r="Q32" s="15"/>
      <c r="R32" s="15"/>
      <c r="S32" s="15"/>
      <c r="T32" s="47"/>
      <c r="U32" s="47"/>
      <c r="V32" s="15"/>
      <c r="W32" s="15"/>
      <c r="X32" s="15"/>
      <c r="Y32" s="15"/>
      <c r="Z32" s="15"/>
      <c r="AA32" s="15"/>
    </row>
    <row r="33" spans="1:27" hidden="1" x14ac:dyDescent="0.3">
      <c r="A33" s="56" t="s">
        <v>59</v>
      </c>
      <c r="B33" s="36" t="s">
        <v>60</v>
      </c>
      <c r="C33" s="37" t="s">
        <v>31</v>
      </c>
      <c r="D33" s="38"/>
      <c r="E33" s="38"/>
      <c r="F33" s="38"/>
      <c r="G33" s="38"/>
      <c r="H33" s="38"/>
      <c r="I33" s="38">
        <v>120</v>
      </c>
      <c r="J33" s="38"/>
      <c r="K33" s="38"/>
      <c r="L33" s="38"/>
      <c r="M33" s="38"/>
      <c r="N33" s="42">
        <f t="shared" si="0"/>
        <v>120</v>
      </c>
      <c r="O33" s="30">
        <f t="shared" si="1"/>
        <v>0</v>
      </c>
      <c r="P33" s="29">
        <f t="shared" si="2"/>
        <v>40</v>
      </c>
      <c r="Q33" s="15"/>
      <c r="R33" s="15"/>
      <c r="S33" s="15"/>
      <c r="T33" s="47"/>
      <c r="U33" s="47"/>
      <c r="V33" s="15"/>
      <c r="W33" s="15"/>
      <c r="X33" s="15"/>
      <c r="Y33" s="15"/>
      <c r="Z33" s="15"/>
      <c r="AA33" s="15"/>
    </row>
    <row r="34" spans="1:27" x14ac:dyDescent="0.3">
      <c r="A34" s="25" t="s">
        <v>59</v>
      </c>
      <c r="B34" s="9" t="s">
        <v>61</v>
      </c>
      <c r="C34" s="10" t="s">
        <v>18</v>
      </c>
      <c r="D34" s="12"/>
      <c r="E34" s="12">
        <v>100</v>
      </c>
      <c r="F34" s="12"/>
      <c r="G34" s="12">
        <v>60</v>
      </c>
      <c r="H34" s="12"/>
      <c r="I34" s="12"/>
      <c r="J34" s="12"/>
      <c r="K34" s="12"/>
      <c r="L34" s="12"/>
      <c r="M34" s="12"/>
      <c r="N34" s="12">
        <f t="shared" si="0"/>
        <v>160</v>
      </c>
      <c r="O34" s="39">
        <f t="shared" si="1"/>
        <v>0</v>
      </c>
      <c r="P34" s="51">
        <f t="shared" si="2"/>
        <v>0</v>
      </c>
      <c r="Q34" s="15"/>
      <c r="R34" s="15"/>
      <c r="S34" s="15"/>
      <c r="T34" s="47"/>
      <c r="U34" s="47"/>
      <c r="V34" s="15"/>
      <c r="W34" s="15"/>
      <c r="X34" s="15"/>
      <c r="Y34" s="15"/>
      <c r="Z34" s="15"/>
      <c r="AA34" s="15"/>
    </row>
    <row r="35" spans="1:27" x14ac:dyDescent="0.3">
      <c r="A35" s="16" t="s">
        <v>62</v>
      </c>
      <c r="B35" s="26" t="s">
        <v>63</v>
      </c>
      <c r="C35" s="27" t="s">
        <v>31</v>
      </c>
      <c r="D35" s="28"/>
      <c r="E35" s="30">
        <v>140</v>
      </c>
      <c r="F35" s="30"/>
      <c r="G35" s="30">
        <v>40</v>
      </c>
      <c r="H35" s="30"/>
      <c r="I35" s="30"/>
      <c r="J35" s="30"/>
      <c r="K35" s="30"/>
      <c r="L35" s="30"/>
      <c r="M35" s="30"/>
      <c r="N35" s="31">
        <f t="shared" si="0"/>
        <v>180</v>
      </c>
      <c r="O35" s="12">
        <f t="shared" si="1"/>
        <v>0</v>
      </c>
      <c r="P35" s="14">
        <f t="shared" si="2"/>
        <v>-20</v>
      </c>
      <c r="Q35" s="15"/>
      <c r="R35" s="15"/>
      <c r="S35" s="15"/>
      <c r="T35" s="47"/>
      <c r="U35" s="47"/>
      <c r="V35" s="15"/>
      <c r="W35" s="15"/>
      <c r="X35" s="15"/>
      <c r="Y35" s="15"/>
      <c r="Z35" s="15"/>
      <c r="AA35" s="15"/>
    </row>
    <row r="36" spans="1:27" hidden="1" x14ac:dyDescent="0.3">
      <c r="A36" s="46" t="s">
        <v>62</v>
      </c>
      <c r="B36" s="17" t="s">
        <v>64</v>
      </c>
      <c r="C36" s="33" t="s">
        <v>31</v>
      </c>
      <c r="D36" s="50"/>
      <c r="E36" s="34"/>
      <c r="F36" s="34"/>
      <c r="G36" s="34"/>
      <c r="H36" s="34">
        <v>80</v>
      </c>
      <c r="I36" s="42">
        <v>70</v>
      </c>
      <c r="J36" s="34">
        <v>20</v>
      </c>
      <c r="K36" s="34">
        <v>10</v>
      </c>
      <c r="L36" s="34"/>
      <c r="M36" s="34"/>
      <c r="N36" s="34">
        <f t="shared" si="0"/>
        <v>180</v>
      </c>
      <c r="O36" s="30">
        <f t="shared" si="1"/>
        <v>0</v>
      </c>
      <c r="P36" s="29">
        <f t="shared" si="2"/>
        <v>-20</v>
      </c>
      <c r="Q36" s="15"/>
      <c r="R36" s="15"/>
      <c r="S36" s="15"/>
      <c r="T36" s="47"/>
      <c r="U36" s="47"/>
      <c r="V36" s="15"/>
      <c r="W36" s="15"/>
      <c r="X36" s="15"/>
      <c r="Y36" s="15"/>
      <c r="Z36" s="15"/>
      <c r="AA36" s="15"/>
    </row>
    <row r="37" spans="1:27" hidden="1" x14ac:dyDescent="0.3">
      <c r="A37" s="25" t="s">
        <v>62</v>
      </c>
      <c r="B37" s="9" t="s">
        <v>65</v>
      </c>
      <c r="C37" s="10" t="s">
        <v>31</v>
      </c>
      <c r="D37" s="11">
        <v>160</v>
      </c>
      <c r="E37" s="12"/>
      <c r="F37" s="12"/>
      <c r="G37" s="12"/>
      <c r="H37" s="12"/>
      <c r="I37" s="12"/>
      <c r="J37" s="12"/>
      <c r="K37" s="12"/>
      <c r="L37" s="12"/>
      <c r="M37" s="12"/>
      <c r="N37" s="12">
        <f t="shared" si="0"/>
        <v>160</v>
      </c>
      <c r="O37" s="40">
        <f t="shared" si="1"/>
        <v>0</v>
      </c>
      <c r="P37" s="14">
        <f t="shared" si="2"/>
        <v>0</v>
      </c>
      <c r="Q37" s="15"/>
      <c r="R37" s="15"/>
      <c r="S37" s="15"/>
      <c r="T37" s="47"/>
      <c r="U37" s="47"/>
      <c r="V37" s="15"/>
      <c r="W37" s="15"/>
      <c r="X37" s="15"/>
      <c r="Y37" s="15"/>
      <c r="Z37" s="15"/>
      <c r="AA37" s="15"/>
    </row>
    <row r="38" spans="1:27" x14ac:dyDescent="0.3">
      <c r="A38" s="25" t="s">
        <v>62</v>
      </c>
      <c r="B38" s="9" t="s">
        <v>66</v>
      </c>
      <c r="C38" s="10" t="s">
        <v>18</v>
      </c>
      <c r="D38" s="12"/>
      <c r="E38" s="12"/>
      <c r="F38" s="12">
        <v>20</v>
      </c>
      <c r="G38" s="12">
        <v>10</v>
      </c>
      <c r="H38" s="12"/>
      <c r="I38" s="12">
        <v>15</v>
      </c>
      <c r="J38" s="12"/>
      <c r="K38" s="12"/>
      <c r="L38" s="12"/>
      <c r="M38" s="12"/>
      <c r="N38" s="12">
        <f t="shared" si="0"/>
        <v>45</v>
      </c>
      <c r="O38" s="40">
        <f t="shared" si="1"/>
        <v>0</v>
      </c>
      <c r="P38" s="14">
        <f t="shared" si="2"/>
        <v>115</v>
      </c>
      <c r="Q38" s="15"/>
      <c r="R38" s="15"/>
      <c r="S38" s="15"/>
      <c r="T38" s="47"/>
      <c r="U38" s="47"/>
      <c r="V38" s="15"/>
      <c r="W38" s="15"/>
      <c r="X38" s="15"/>
      <c r="Y38" s="15"/>
      <c r="Z38" s="15"/>
      <c r="AA38" s="15"/>
    </row>
    <row r="39" spans="1:27" hidden="1" x14ac:dyDescent="0.3">
      <c r="A39" s="59" t="s">
        <v>67</v>
      </c>
      <c r="B39" s="16" t="s">
        <v>68</v>
      </c>
      <c r="C39" s="27" t="s">
        <v>18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>
        <f t="shared" si="0"/>
        <v>0</v>
      </c>
      <c r="O39" s="12">
        <f t="shared" si="1"/>
        <v>0</v>
      </c>
      <c r="P39" s="14">
        <f t="shared" si="2"/>
        <v>160</v>
      </c>
      <c r="Q39" s="15"/>
      <c r="R39" s="15"/>
      <c r="S39" s="15"/>
      <c r="T39" s="47"/>
      <c r="U39" s="47"/>
      <c r="V39" s="15"/>
      <c r="W39" s="15"/>
      <c r="X39" s="15"/>
      <c r="Y39" s="15"/>
      <c r="Z39" s="15"/>
      <c r="AA39" s="15"/>
    </row>
    <row r="40" spans="1:27" hidden="1" x14ac:dyDescent="0.3">
      <c r="A40" s="35" t="s">
        <v>67</v>
      </c>
      <c r="B40" s="56" t="s">
        <v>69</v>
      </c>
      <c r="C40" s="37" t="s">
        <v>31</v>
      </c>
      <c r="D40" s="60"/>
      <c r="E40" s="38"/>
      <c r="F40" s="38"/>
      <c r="G40" s="38"/>
      <c r="H40" s="38"/>
      <c r="I40" s="38"/>
      <c r="J40" s="38"/>
      <c r="K40" s="38"/>
      <c r="L40" s="38"/>
      <c r="M40" s="38"/>
      <c r="N40" s="38">
        <f t="shared" si="0"/>
        <v>0</v>
      </c>
      <c r="O40" s="38">
        <f t="shared" si="1"/>
        <v>0</v>
      </c>
      <c r="P40" s="51">
        <f t="shared" si="2"/>
        <v>160</v>
      </c>
      <c r="Q40" s="15"/>
      <c r="R40" s="15"/>
      <c r="S40" s="15"/>
      <c r="T40" s="47"/>
      <c r="U40" s="47"/>
      <c r="V40" s="15"/>
      <c r="W40" s="15"/>
      <c r="X40" s="15"/>
      <c r="Y40" s="15"/>
      <c r="Z40" s="15"/>
      <c r="AA40" s="15"/>
    </row>
    <row r="41" spans="1:27" hidden="1" x14ac:dyDescent="0.3">
      <c r="A41" s="25" t="s">
        <v>70</v>
      </c>
      <c r="B41" s="25" t="s">
        <v>71</v>
      </c>
      <c r="C41" s="10" t="s">
        <v>25</v>
      </c>
      <c r="D41" s="61">
        <v>160</v>
      </c>
      <c r="E41" s="61"/>
      <c r="F41" s="61"/>
      <c r="G41" s="62"/>
      <c r="H41" s="62"/>
      <c r="I41" s="62"/>
      <c r="J41" s="62"/>
      <c r="K41" s="62"/>
      <c r="L41" s="62"/>
      <c r="M41" s="63"/>
      <c r="N41" s="12">
        <f t="shared" si="0"/>
        <v>160</v>
      </c>
      <c r="O41" s="40">
        <f t="shared" si="1"/>
        <v>0</v>
      </c>
      <c r="P41" s="14">
        <f t="shared" si="2"/>
        <v>0</v>
      </c>
      <c r="Q41" s="15"/>
      <c r="R41" s="15"/>
      <c r="S41" s="15"/>
      <c r="T41" s="47"/>
      <c r="U41" s="47"/>
      <c r="V41" s="15"/>
      <c r="W41" s="15"/>
      <c r="X41" s="15"/>
      <c r="Y41" s="15"/>
      <c r="Z41" s="15"/>
      <c r="AA41" s="15"/>
    </row>
    <row r="42" spans="1:27" hidden="1" x14ac:dyDescent="0.3">
      <c r="A42" s="46" t="s">
        <v>70</v>
      </c>
      <c r="B42" s="17" t="s">
        <v>72</v>
      </c>
      <c r="C42" s="33" t="s">
        <v>18</v>
      </c>
      <c r="D42" s="34"/>
      <c r="E42" s="34"/>
      <c r="F42" s="34"/>
      <c r="G42" s="34"/>
      <c r="H42" s="34">
        <v>160</v>
      </c>
      <c r="I42" s="42"/>
      <c r="J42" s="34"/>
      <c r="K42" s="34"/>
      <c r="L42" s="34"/>
      <c r="M42" s="30"/>
      <c r="N42" s="30">
        <f t="shared" si="0"/>
        <v>160</v>
      </c>
      <c r="O42" s="12">
        <f t="shared" si="1"/>
        <v>0</v>
      </c>
      <c r="P42" s="14">
        <f t="shared" si="2"/>
        <v>0</v>
      </c>
      <c r="Q42" s="15"/>
      <c r="R42" s="15"/>
      <c r="S42" s="15"/>
      <c r="T42" s="47"/>
      <c r="U42" s="47"/>
      <c r="V42" s="15"/>
      <c r="W42" s="15"/>
      <c r="X42" s="15"/>
      <c r="Y42" s="15"/>
      <c r="Z42" s="15"/>
      <c r="AA42" s="15"/>
    </row>
    <row r="43" spans="1:27" hidden="1" x14ac:dyDescent="0.3">
      <c r="A43" s="56" t="s">
        <v>70</v>
      </c>
      <c r="B43" s="36" t="s">
        <v>73</v>
      </c>
      <c r="C43" s="37" t="s">
        <v>31</v>
      </c>
      <c r="D43" s="38"/>
      <c r="E43" s="38">
        <v>140</v>
      </c>
      <c r="F43" s="38"/>
      <c r="G43" s="38"/>
      <c r="H43" s="38"/>
      <c r="I43" s="38"/>
      <c r="J43" s="38"/>
      <c r="K43" s="38"/>
      <c r="L43" s="38"/>
      <c r="M43" s="39"/>
      <c r="N43" s="38">
        <f t="shared" si="0"/>
        <v>140</v>
      </c>
      <c r="O43" s="38">
        <f t="shared" si="1"/>
        <v>0</v>
      </c>
      <c r="P43" s="51">
        <f t="shared" si="2"/>
        <v>20</v>
      </c>
      <c r="Q43" s="15"/>
      <c r="R43" s="15"/>
      <c r="S43" s="15"/>
      <c r="T43" s="47"/>
      <c r="U43" s="47"/>
      <c r="V43" s="15"/>
      <c r="W43" s="15"/>
      <c r="X43" s="15"/>
      <c r="Y43" s="15"/>
      <c r="Z43" s="15"/>
      <c r="AA43" s="15"/>
    </row>
    <row r="44" spans="1:27" x14ac:dyDescent="0.3">
      <c r="A44" s="25" t="s">
        <v>70</v>
      </c>
      <c r="B44" s="25" t="s">
        <v>74</v>
      </c>
      <c r="C44" s="10" t="s">
        <v>18</v>
      </c>
      <c r="D44" s="12">
        <v>100</v>
      </c>
      <c r="E44" s="12"/>
      <c r="F44" s="12"/>
      <c r="G44" s="12">
        <v>20</v>
      </c>
      <c r="H44" s="12"/>
      <c r="I44" s="12"/>
      <c r="J44" s="12"/>
      <c r="K44" s="38"/>
      <c r="L44" s="38"/>
      <c r="M44" s="12"/>
      <c r="N44" s="12">
        <f t="shared" si="0"/>
        <v>120</v>
      </c>
      <c r="O44" s="40">
        <f t="shared" si="1"/>
        <v>0</v>
      </c>
      <c r="P44" s="14">
        <f t="shared" si="2"/>
        <v>40</v>
      </c>
    </row>
    <row r="45" spans="1:27" hidden="1" x14ac:dyDescent="0.3">
      <c r="A45" s="16" t="s">
        <v>70</v>
      </c>
      <c r="B45" s="16" t="s">
        <v>75</v>
      </c>
      <c r="C45" s="59" t="s">
        <v>25</v>
      </c>
      <c r="D45" s="64"/>
      <c r="E45" s="64">
        <v>50</v>
      </c>
      <c r="F45" s="65"/>
      <c r="G45" s="65"/>
      <c r="H45" s="65"/>
      <c r="I45" s="65"/>
      <c r="J45" s="66"/>
      <c r="K45" s="67"/>
      <c r="L45" s="67"/>
      <c r="M45" s="68"/>
      <c r="N45" s="30">
        <f t="shared" si="0"/>
        <v>50</v>
      </c>
      <c r="O45" s="12">
        <f t="shared" si="1"/>
        <v>0</v>
      </c>
      <c r="P45" s="14">
        <f t="shared" si="2"/>
        <v>110</v>
      </c>
    </row>
  </sheetData>
  <autoFilter ref="A1:P45" xr:uid="{22D3BF8E-82C9-44CD-97F1-D63EEF77EDCC}">
    <filterColumn colId="6">
      <filters>
        <filter val="10"/>
        <filter val="20"/>
        <filter val="40"/>
        <filter val="60"/>
        <filter val="80"/>
      </filters>
    </filterColumn>
    <sortState xmlns:xlrd2="http://schemas.microsoft.com/office/spreadsheetml/2017/richdata2" ref="A2:P45">
      <sortCondition ref="A1:A45"/>
    </sortState>
  </autoFilter>
  <mergeCells count="32">
    <mergeCell ref="T42:U42"/>
    <mergeCell ref="T43:U43"/>
    <mergeCell ref="T36:U36"/>
    <mergeCell ref="T37:U37"/>
    <mergeCell ref="T38:U38"/>
    <mergeCell ref="T39:U39"/>
    <mergeCell ref="T40:U40"/>
    <mergeCell ref="T41:U41"/>
    <mergeCell ref="T30:U30"/>
    <mergeCell ref="T31:U31"/>
    <mergeCell ref="T32:U32"/>
    <mergeCell ref="T33:U33"/>
    <mergeCell ref="T34:U34"/>
    <mergeCell ref="T35:U35"/>
    <mergeCell ref="T24:U24"/>
    <mergeCell ref="T25:U25"/>
    <mergeCell ref="T26:U26"/>
    <mergeCell ref="T27:U27"/>
    <mergeCell ref="T28:U28"/>
    <mergeCell ref="T29:U29"/>
    <mergeCell ref="T18:U18"/>
    <mergeCell ref="T19:U19"/>
    <mergeCell ref="T20:U20"/>
    <mergeCell ref="T21:U21"/>
    <mergeCell ref="T22:U22"/>
    <mergeCell ref="T23:U23"/>
    <mergeCell ref="T1:U1"/>
    <mergeCell ref="T13:U13"/>
    <mergeCell ref="T14:U14"/>
    <mergeCell ref="T15:U15"/>
    <mergeCell ref="T16:U16"/>
    <mergeCell ref="T17:U17"/>
  </mergeCells>
  <conditionalFormatting sqref="P2:P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May-25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karan</dc:creator>
  <cp:lastModifiedBy>sri karan</cp:lastModifiedBy>
  <dcterms:created xsi:type="dcterms:W3CDTF">2025-07-22T07:25:50Z</dcterms:created>
  <dcterms:modified xsi:type="dcterms:W3CDTF">2025-07-22T07:26:01Z</dcterms:modified>
</cp:coreProperties>
</file>